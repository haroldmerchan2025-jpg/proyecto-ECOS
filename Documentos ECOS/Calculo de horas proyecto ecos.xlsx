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fur/2CAqNMHzXjfrFgCIzMh0mnwHL1keohCCQDP/fFo="/>
    </ext>
  </extLst>
</workbook>
</file>

<file path=xl/sharedStrings.xml><?xml version="1.0" encoding="utf-8"?>
<sst xmlns="http://schemas.openxmlformats.org/spreadsheetml/2006/main" count="196" uniqueCount="79">
  <si>
    <t>SPRINT 1</t>
  </si>
  <si>
    <t>Usuarios</t>
  </si>
  <si>
    <t>Semanas destinadas</t>
  </si>
  <si>
    <t>HISTORIA DE USUARIO</t>
  </si>
  <si>
    <t>PUNTAJE</t>
  </si>
  <si>
    <t>INTEGRANTES</t>
  </si>
  <si>
    <t>DÍAS DEDICADOS A LA HISTORIA</t>
  </si>
  <si>
    <t>HORAS DEL DÍA</t>
  </si>
  <si>
    <t>CAPACIDAD TOTAL (HORAS)</t>
  </si>
  <si>
    <t xml:space="preserve">VELOCIDAD </t>
  </si>
  <si>
    <t>H1 Crear publicacion</t>
  </si>
  <si>
    <t>H2 Visualizar publicacion</t>
  </si>
  <si>
    <t>H3 Editar publicacion</t>
  </si>
  <si>
    <t>H4 Eliminar publicacion</t>
  </si>
  <si>
    <t>SPRINT 2</t>
  </si>
  <si>
    <t>H5 Registro de usuarios</t>
  </si>
  <si>
    <t>H6 Inicio de sesion</t>
  </si>
  <si>
    <t>H7 Almacenar usuarios</t>
  </si>
  <si>
    <t>H8 Notificaciones</t>
  </si>
  <si>
    <t>SPRINT 3</t>
  </si>
  <si>
    <t>H9 Crear perfil</t>
  </si>
  <si>
    <t>H10 Editar perfil</t>
  </si>
  <si>
    <t>H11 Visualizar perfil</t>
  </si>
  <si>
    <t>H12 Eliminar perfil</t>
  </si>
  <si>
    <t>SPRINT 4</t>
  </si>
  <si>
    <t>H13 Moderacion de contenido</t>
  </si>
  <si>
    <t>H14 Busqueda de publicaciones</t>
  </si>
  <si>
    <t>H15 Comentar punlicaciones</t>
  </si>
  <si>
    <t>H16 Visualizar comentarios</t>
  </si>
  <si>
    <t>SPRINT 5</t>
  </si>
  <si>
    <t>H17 Editar comentario</t>
  </si>
  <si>
    <t>H18 Eliminar comentario</t>
  </si>
  <si>
    <t>H19 Reportar usuarios</t>
  </si>
  <si>
    <t>H20 Recuperar contraseña</t>
  </si>
  <si>
    <t>SPRINT 6</t>
  </si>
  <si>
    <t>H21 Seguir creadores</t>
  </si>
  <si>
    <t xml:space="preserve">H22 Visualizar creadores seguidos </t>
  </si>
  <si>
    <t xml:space="preserve">H23 Dejar de seguir creadores </t>
  </si>
  <si>
    <t xml:space="preserve">H24 Bloqueo de usuarios </t>
  </si>
  <si>
    <t>SPRINT 7</t>
  </si>
  <si>
    <t xml:space="preserve">H25 Visualizar usuarios bloqueados </t>
  </si>
  <si>
    <t xml:space="preserve">H26 Ocultar contenido </t>
  </si>
  <si>
    <t>H27 Me gusta, no me gusta</t>
  </si>
  <si>
    <t>H28 Historial</t>
  </si>
  <si>
    <t>SPRINT 8</t>
  </si>
  <si>
    <t>H29 Eliminar historial</t>
  </si>
  <si>
    <t xml:space="preserve">H30 Editar historial </t>
  </si>
  <si>
    <t>H31 Compartir</t>
  </si>
  <si>
    <t xml:space="preserve">H32 Pausar, adelantar, atrasar videos </t>
  </si>
  <si>
    <t>SPRINT 9</t>
  </si>
  <si>
    <t>H33 Sugerir contenido</t>
  </si>
  <si>
    <t xml:space="preserve">H34 Votaciones </t>
  </si>
  <si>
    <t>H35 Visualizar contenido de encuestas</t>
  </si>
  <si>
    <t>H36 Baneos</t>
  </si>
  <si>
    <t>SPRINT 10</t>
  </si>
  <si>
    <t>H37 Visualizar usuarios baneados</t>
  </si>
  <si>
    <t xml:space="preserve">H38 Eliminar baneo </t>
  </si>
  <si>
    <t>H39 Control de comentarios</t>
  </si>
  <si>
    <t>H40 Creacion de encuestas</t>
  </si>
  <si>
    <t>SPRINT 11</t>
  </si>
  <si>
    <t>H41 Visualizar encuentas creadas</t>
  </si>
  <si>
    <t xml:space="preserve">H42 Editar encuesta </t>
  </si>
  <si>
    <t xml:space="preserve">H43 Eliminar encuesta </t>
  </si>
  <si>
    <t>H44 Gestion de advertencias</t>
  </si>
  <si>
    <t>SPRINT 12</t>
  </si>
  <si>
    <t xml:space="preserve">H45 Revisar reportes pendientes </t>
  </si>
  <si>
    <t>H46 Fijar publicacion en el perfil</t>
  </si>
  <si>
    <t>H47 Gestionar moderadores</t>
  </si>
  <si>
    <t xml:space="preserve">H48 Crear dinamicas </t>
  </si>
  <si>
    <t>SPRINT 13</t>
  </si>
  <si>
    <t xml:space="preserve">H49 Visualizar dinamicas </t>
  </si>
  <si>
    <t xml:space="preserve">H50 Editar dinamicas </t>
  </si>
  <si>
    <t>H51 Eliminar dinamica</t>
  </si>
  <si>
    <t xml:space="preserve">H52 Estadisticas </t>
  </si>
  <si>
    <t>SPRINT 14</t>
  </si>
  <si>
    <t xml:space="preserve">H53 Programar publicaciones </t>
  </si>
  <si>
    <t xml:space="preserve">H54 Visualizar publicaciones programadas </t>
  </si>
  <si>
    <t xml:space="preserve">H55 Editar publicación programada </t>
  </si>
  <si>
    <t>H56 Eliminar publicación programada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</si>
</sst>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theme="1"/>
      <name val="Calibri"/>
    </font>
    <font>
      <sz val="14.0"/>
      <color theme="1"/>
      <name val="Calibri"/>
    </font>
    <font/>
    <font>
      <b/>
      <sz val="14.0"/>
      <color rgb="FFFFFFFF"/>
      <name val="Calibri"/>
    </font>
    <font>
      <b/>
      <sz val="14.0"/>
      <color theme="0"/>
      <name val="Calibri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5B9BD5"/>
        <bgColor rgb="FF5B9BD5"/>
      </patternFill>
    </fill>
  </fills>
  <borders count="20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2" fontId="4" numFmtId="0" xfId="0" applyBorder="1" applyFill="1" applyFont="1"/>
    <xf borderId="6" fillId="2" fontId="4" numFmtId="0" xfId="0" applyAlignment="1" applyBorder="1" applyFont="1">
      <alignment horizontal="center"/>
    </xf>
    <xf borderId="6" fillId="2" fontId="5" numFmtId="0" xfId="0" applyBorder="1" applyFont="1"/>
    <xf borderId="7" fillId="2" fontId="5" numFmtId="0" xfId="0" applyBorder="1" applyFont="1"/>
    <xf borderId="8" fillId="0" fontId="3" numFmtId="0" xfId="0" applyBorder="1" applyFont="1"/>
    <xf borderId="9" fillId="0" fontId="3" numFmtId="0" xfId="0" applyBorder="1" applyFont="1"/>
    <xf borderId="5" fillId="2" fontId="5" numFmtId="0" xfId="0" applyBorder="1" applyFont="1"/>
    <xf borderId="6" fillId="2" fontId="4" numFmtId="0" xfId="0" applyBorder="1" applyFont="1"/>
    <xf borderId="10" fillId="2" fontId="5" numFmtId="0" xfId="0" applyBorder="1" applyFont="1"/>
    <xf borderId="5" fillId="0" fontId="2" numFmtId="0" xfId="0" applyAlignment="1" applyBorder="1" applyFont="1">
      <alignment readingOrder="0"/>
    </xf>
    <xf borderId="6" fillId="0" fontId="2" numFmtId="0" xfId="0" applyAlignment="1" applyBorder="1" applyFont="1">
      <alignment horizontal="center" readingOrder="0"/>
    </xf>
    <xf borderId="6" fillId="0" fontId="2" numFmtId="0" xfId="0" applyAlignment="1" applyBorder="1" applyFont="1">
      <alignment horizontal="center"/>
    </xf>
    <xf borderId="11" fillId="0" fontId="2" numFmtId="0" xfId="0" applyAlignment="1" applyBorder="1" applyFont="1">
      <alignment horizontal="center" vertical="center"/>
    </xf>
    <xf borderId="12" fillId="0" fontId="3" numFmtId="0" xfId="0" applyBorder="1" applyFont="1"/>
    <xf borderId="13" fillId="0" fontId="2" numFmtId="0" xfId="0" applyAlignment="1" applyBorder="1" applyFont="1">
      <alignment readingOrder="0"/>
    </xf>
    <xf borderId="14" fillId="0" fontId="2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/>
    </xf>
    <xf borderId="15" fillId="0" fontId="3" numFmtId="0" xfId="0" applyBorder="1" applyFont="1"/>
    <xf borderId="6" fillId="2" fontId="5" numFmtId="0" xfId="0" applyAlignment="1" applyBorder="1" applyFont="1">
      <alignment horizontal="center"/>
    </xf>
    <xf borderId="1" fillId="0" fontId="1" numFmtId="0" xfId="0" applyAlignment="1" applyBorder="1" applyFont="1">
      <alignment readingOrder="0"/>
    </xf>
    <xf borderId="6" fillId="0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vertical="center"/>
    </xf>
    <xf borderId="14" fillId="0" fontId="2" numFmtId="0" xfId="0" applyAlignment="1" applyBorder="1" applyFont="1">
      <alignment horizontal="center" readingOrder="0" vertical="center"/>
    </xf>
    <xf borderId="14" fillId="0" fontId="2" numFmtId="0" xfId="0" applyAlignment="1" applyBorder="1" applyFont="1">
      <alignment horizontal="center" vertical="center"/>
    </xf>
    <xf borderId="1" fillId="0" fontId="1" numFmtId="0" xfId="0" applyAlignment="1" applyBorder="1" applyFont="1">
      <alignment readingOrder="0" vertical="bottom"/>
    </xf>
    <xf borderId="2" fillId="0" fontId="2" numFmtId="0" xfId="0" applyAlignment="1" applyBorder="1" applyFont="1">
      <alignment horizontal="center" vertical="bottom"/>
    </xf>
    <xf borderId="5" fillId="3" fontId="4" numFmtId="0" xfId="0" applyAlignment="1" applyBorder="1" applyFill="1" applyFont="1">
      <alignment vertical="bottom"/>
    </xf>
    <xf borderId="6" fillId="3" fontId="6" numFmtId="0" xfId="0" applyAlignment="1" applyBorder="1" applyFont="1">
      <alignment vertical="bottom"/>
    </xf>
    <xf borderId="6" fillId="3" fontId="4" numFmtId="0" xfId="0" applyAlignment="1" applyBorder="1" applyFont="1">
      <alignment vertical="bottom"/>
    </xf>
    <xf borderId="7" fillId="3" fontId="4" numFmtId="0" xfId="0" applyAlignment="1" applyBorder="1" applyFont="1">
      <alignment vertical="bottom"/>
    </xf>
    <xf borderId="10" fillId="3" fontId="4" numFmtId="0" xfId="0" applyAlignment="1" applyBorder="1" applyFont="1">
      <alignment vertical="bottom"/>
    </xf>
    <xf borderId="5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center" vertical="center"/>
    </xf>
    <xf borderId="13" fillId="0" fontId="2" numFmtId="0" xfId="0" applyAlignment="1" applyBorder="1" applyFont="1">
      <alignment readingOrder="0" vertical="bottom"/>
    </xf>
    <xf borderId="14" fillId="0" fontId="2" numFmtId="0" xfId="0" applyAlignment="1" applyBorder="1" applyFont="1">
      <alignment horizontal="center" vertical="center"/>
    </xf>
    <xf borderId="16" fillId="0" fontId="3" numFmtId="0" xfId="0" applyBorder="1" applyFont="1"/>
    <xf borderId="17" fillId="0" fontId="7" numFmtId="0" xfId="0" applyBorder="1" applyFont="1"/>
    <xf borderId="18" fillId="0" fontId="7" numFmtId="0" xfId="0" applyBorder="1" applyFont="1"/>
    <xf borderId="19" fillId="0" fontId="7" numFmtId="0" xfId="0" applyBorder="1" applyFont="1"/>
    <xf borderId="5" fillId="0" fontId="2" numFmtId="0" xfId="0" applyAlignment="1" applyBorder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2.57"/>
    <col customWidth="1" min="3" max="3" width="11.43"/>
    <col customWidth="1" min="4" max="4" width="17.29"/>
    <col customWidth="1" min="5" max="5" width="36.86"/>
    <col customWidth="1" min="6" max="6" width="19.0"/>
    <col customWidth="1" min="7" max="7" width="32.71"/>
    <col customWidth="1" min="8" max="8" width="15.0"/>
    <col customWidth="1" min="9" max="26" width="10.71"/>
  </cols>
  <sheetData>
    <row r="2">
      <c r="B2" s="1" t="s">
        <v>0</v>
      </c>
      <c r="C2" s="2" t="s">
        <v>1</v>
      </c>
      <c r="D2" s="3"/>
      <c r="E2" s="3"/>
      <c r="F2" s="3"/>
      <c r="G2" s="3"/>
      <c r="H2" s="4"/>
    </row>
    <row r="3">
      <c r="B3" s="5" t="s">
        <v>2</v>
      </c>
      <c r="C3" s="6">
        <v>3.0</v>
      </c>
      <c r="D3" s="7" t="str">
        <f>if(C3&gt;4,"No viable","Viable")</f>
        <v>Viable</v>
      </c>
      <c r="E3" s="8" t="str">
        <f>CONCATENATE("Las semanas destinadas son: "&amp; C3)</f>
        <v>Las semanas destinadas son: 3</v>
      </c>
      <c r="F3" s="9"/>
      <c r="G3" s="9"/>
      <c r="H3" s="10"/>
    </row>
    <row r="4">
      <c r="B4" s="11" t="s">
        <v>3</v>
      </c>
      <c r="C4" s="7" t="s">
        <v>4</v>
      </c>
      <c r="D4" s="7" t="s">
        <v>5</v>
      </c>
      <c r="E4" s="12" t="s">
        <v>6</v>
      </c>
      <c r="F4" s="7" t="s">
        <v>7</v>
      </c>
      <c r="G4" s="7" t="s">
        <v>8</v>
      </c>
      <c r="H4" s="13" t="s">
        <v>9</v>
      </c>
    </row>
    <row r="5">
      <c r="B5" s="14" t="s">
        <v>10</v>
      </c>
      <c r="C5" s="15">
        <v>8.0</v>
      </c>
      <c r="D5" s="15">
        <v>3.0</v>
      </c>
      <c r="E5" s="15">
        <v>3.0</v>
      </c>
      <c r="F5" s="15">
        <v>6.0</v>
      </c>
      <c r="G5" s="16">
        <f t="shared" ref="G5:G8" si="1">D5*E5*F5</f>
        <v>54</v>
      </c>
      <c r="H5" s="17">
        <f>AVERAGE(C5:C8)</f>
        <v>7.25</v>
      </c>
    </row>
    <row r="6">
      <c r="B6" s="14" t="s">
        <v>11</v>
      </c>
      <c r="C6" s="15">
        <v>5.0</v>
      </c>
      <c r="D6" s="15">
        <v>2.0</v>
      </c>
      <c r="E6" s="15">
        <v>2.0</v>
      </c>
      <c r="F6" s="15">
        <v>6.0</v>
      </c>
      <c r="G6" s="16">
        <f t="shared" si="1"/>
        <v>24</v>
      </c>
      <c r="H6" s="18"/>
    </row>
    <row r="7">
      <c r="B7" s="14" t="s">
        <v>12</v>
      </c>
      <c r="C7" s="15">
        <v>8.0</v>
      </c>
      <c r="D7" s="15">
        <v>3.0</v>
      </c>
      <c r="E7" s="15">
        <v>3.0</v>
      </c>
      <c r="F7" s="15">
        <v>6.0</v>
      </c>
      <c r="G7" s="16">
        <f t="shared" si="1"/>
        <v>54</v>
      </c>
      <c r="H7" s="18"/>
    </row>
    <row r="8">
      <c r="B8" s="19" t="s">
        <v>13</v>
      </c>
      <c r="C8" s="20">
        <v>8.0</v>
      </c>
      <c r="D8" s="20">
        <v>3.0</v>
      </c>
      <c r="E8" s="20">
        <v>3.0</v>
      </c>
      <c r="F8" s="20">
        <v>6.0</v>
      </c>
      <c r="G8" s="21">
        <f t="shared" si="1"/>
        <v>54</v>
      </c>
      <c r="H8" s="22"/>
    </row>
    <row r="11" ht="15.75" customHeight="1">
      <c r="B11" s="1" t="s">
        <v>14</v>
      </c>
      <c r="C11" s="2" t="s">
        <v>1</v>
      </c>
      <c r="D11" s="3"/>
      <c r="E11" s="3"/>
      <c r="F11" s="3"/>
      <c r="G11" s="3"/>
      <c r="H11" s="4"/>
    </row>
    <row r="12" ht="15.75" customHeight="1">
      <c r="B12" s="5" t="s">
        <v>2</v>
      </c>
      <c r="C12" s="6"/>
      <c r="D12" s="7" t="str">
        <f>if(C12&gt;4,"No viable","Viable")</f>
        <v>Viable</v>
      </c>
      <c r="E12" s="8" t="str">
        <f>CONCATENATE("Las semanas destinadas son: "&amp; C12)</f>
        <v>Las semanas destinadas son: </v>
      </c>
      <c r="F12" s="9"/>
      <c r="G12" s="9"/>
      <c r="H12" s="10"/>
    </row>
    <row r="13" ht="15.75" customHeight="1">
      <c r="B13" s="11" t="s">
        <v>3</v>
      </c>
      <c r="C13" s="7" t="s">
        <v>4</v>
      </c>
      <c r="D13" s="7" t="s">
        <v>5</v>
      </c>
      <c r="E13" s="12" t="s">
        <v>6</v>
      </c>
      <c r="F13" s="7" t="s">
        <v>7</v>
      </c>
      <c r="G13" s="7" t="s">
        <v>8</v>
      </c>
      <c r="H13" s="13" t="s">
        <v>9</v>
      </c>
    </row>
    <row r="14" ht="15.75" customHeight="1">
      <c r="B14" s="14" t="s">
        <v>15</v>
      </c>
      <c r="C14" s="15">
        <v>2.0</v>
      </c>
      <c r="D14" s="15">
        <v>2.0</v>
      </c>
      <c r="E14" s="15">
        <v>2.0</v>
      </c>
      <c r="F14" s="15">
        <v>5.0</v>
      </c>
      <c r="G14" s="15">
        <f t="shared" ref="G14:G17" si="2">D14*E14*F14</f>
        <v>20</v>
      </c>
      <c r="H14" s="17">
        <f>AVERAGE(C14:C17)</f>
        <v>2.75</v>
      </c>
    </row>
    <row r="15" ht="15.75" customHeight="1">
      <c r="B15" s="14" t="s">
        <v>16</v>
      </c>
      <c r="C15" s="15">
        <v>2.0</v>
      </c>
      <c r="D15" s="15">
        <v>1.0</v>
      </c>
      <c r="E15" s="15">
        <v>2.0</v>
      </c>
      <c r="F15" s="15">
        <v>5.0</v>
      </c>
      <c r="G15" s="16">
        <f t="shared" si="2"/>
        <v>10</v>
      </c>
      <c r="H15" s="18"/>
    </row>
    <row r="16" ht="15.75" customHeight="1">
      <c r="B16" s="14" t="s">
        <v>17</v>
      </c>
      <c r="C16" s="15">
        <v>2.0</v>
      </c>
      <c r="D16" s="15">
        <v>3.0</v>
      </c>
      <c r="E16" s="15">
        <v>3.0</v>
      </c>
      <c r="F16" s="15">
        <v>5.0</v>
      </c>
      <c r="G16" s="16">
        <f t="shared" si="2"/>
        <v>45</v>
      </c>
      <c r="H16" s="18"/>
    </row>
    <row r="17" ht="15.75" customHeight="1">
      <c r="B17" s="19" t="s">
        <v>18</v>
      </c>
      <c r="C17" s="20">
        <v>5.0</v>
      </c>
      <c r="D17" s="20">
        <v>3.0</v>
      </c>
      <c r="E17" s="20">
        <v>4.0</v>
      </c>
      <c r="F17" s="20">
        <v>5.0</v>
      </c>
      <c r="G17" s="21">
        <f t="shared" si="2"/>
        <v>60</v>
      </c>
      <c r="H17" s="22"/>
    </row>
    <row r="18" ht="15.75" customHeight="1"/>
    <row r="19" ht="15.75" customHeight="1"/>
    <row r="20" ht="15.75" customHeight="1">
      <c r="B20" s="1" t="s">
        <v>19</v>
      </c>
      <c r="C20" s="2" t="s">
        <v>1</v>
      </c>
      <c r="D20" s="3"/>
      <c r="E20" s="3"/>
      <c r="F20" s="3"/>
      <c r="G20" s="3"/>
      <c r="H20" s="4"/>
    </row>
    <row r="21" ht="15.75" customHeight="1">
      <c r="B21" s="5" t="s">
        <v>2</v>
      </c>
      <c r="C21" s="6"/>
      <c r="D21" s="7" t="str">
        <f>if(C21&gt;4,"No viable","Viable")</f>
        <v>Viable</v>
      </c>
      <c r="E21" s="8" t="str">
        <f>CONCATENATE("Las semanas destinadas son: "&amp; C21)</f>
        <v>Las semanas destinadas son: </v>
      </c>
      <c r="F21" s="9"/>
      <c r="G21" s="9"/>
      <c r="H21" s="10"/>
    </row>
    <row r="22" ht="15.75" customHeight="1">
      <c r="B22" s="11" t="s">
        <v>3</v>
      </c>
      <c r="C22" s="23" t="s">
        <v>4</v>
      </c>
      <c r="D22" s="23" t="s">
        <v>5</v>
      </c>
      <c r="E22" s="6" t="s">
        <v>6</v>
      </c>
      <c r="F22" s="23" t="s">
        <v>7</v>
      </c>
      <c r="G22" s="23" t="s">
        <v>8</v>
      </c>
      <c r="H22" s="13" t="s">
        <v>9</v>
      </c>
    </row>
    <row r="23" ht="15.75" customHeight="1">
      <c r="B23" s="14" t="s">
        <v>20</v>
      </c>
      <c r="C23" s="15">
        <v>3.0</v>
      </c>
      <c r="D23" s="15">
        <v>2.0</v>
      </c>
      <c r="E23" s="15">
        <v>3.0</v>
      </c>
      <c r="F23" s="15">
        <v>6.0</v>
      </c>
      <c r="G23" s="16">
        <f t="shared" ref="G23:G26" si="3">D23*E23*F23</f>
        <v>36</v>
      </c>
      <c r="H23" s="17">
        <f>AVERAGE(C23:C26)</f>
        <v>3.25</v>
      </c>
    </row>
    <row r="24" ht="15.75" customHeight="1">
      <c r="B24" s="14" t="s">
        <v>21</v>
      </c>
      <c r="C24" s="15">
        <v>3.0</v>
      </c>
      <c r="D24" s="15">
        <v>3.0</v>
      </c>
      <c r="E24" s="15">
        <v>2.0</v>
      </c>
      <c r="F24" s="15">
        <v>6.0</v>
      </c>
      <c r="G24" s="16">
        <f t="shared" si="3"/>
        <v>36</v>
      </c>
      <c r="H24" s="18"/>
    </row>
    <row r="25" ht="15.75" customHeight="1">
      <c r="B25" s="14" t="s">
        <v>22</v>
      </c>
      <c r="C25" s="15">
        <v>2.0</v>
      </c>
      <c r="D25" s="15">
        <v>2.0</v>
      </c>
      <c r="E25" s="15">
        <v>2.0</v>
      </c>
      <c r="F25" s="15">
        <v>6.0</v>
      </c>
      <c r="G25" s="16">
        <f t="shared" si="3"/>
        <v>24</v>
      </c>
      <c r="H25" s="18"/>
    </row>
    <row r="26" ht="15.75" customHeight="1">
      <c r="B26" s="19" t="s">
        <v>23</v>
      </c>
      <c r="C26" s="20">
        <v>5.0</v>
      </c>
      <c r="D26" s="20">
        <v>4.0</v>
      </c>
      <c r="E26" s="20">
        <v>4.0</v>
      </c>
      <c r="F26" s="20">
        <v>6.0</v>
      </c>
      <c r="G26" s="21">
        <f t="shared" si="3"/>
        <v>96</v>
      </c>
      <c r="H26" s="22"/>
    </row>
    <row r="27" ht="15.75" customHeight="1"/>
    <row r="28" ht="15.75" customHeight="1"/>
    <row r="29" ht="15.75" customHeight="1">
      <c r="B29" s="1" t="s">
        <v>24</v>
      </c>
      <c r="C29" s="2" t="s">
        <v>1</v>
      </c>
      <c r="D29" s="3"/>
      <c r="E29" s="3"/>
      <c r="F29" s="3"/>
      <c r="G29" s="3"/>
      <c r="H29" s="4"/>
    </row>
    <row r="30" ht="15.75" customHeight="1">
      <c r="B30" s="5" t="s">
        <v>2</v>
      </c>
      <c r="C30" s="6"/>
      <c r="D30" s="7" t="str">
        <f>if(C30&gt;4,"No viable","Viable")</f>
        <v>Viable</v>
      </c>
      <c r="E30" s="8" t="str">
        <f>CONCATENATE("Las semanas destinadas son: "&amp; C30)</f>
        <v>Las semanas destinadas son: </v>
      </c>
      <c r="F30" s="9"/>
      <c r="G30" s="9"/>
      <c r="H30" s="10"/>
    </row>
    <row r="31" ht="15.75" customHeight="1">
      <c r="B31" s="11" t="s">
        <v>3</v>
      </c>
      <c r="C31" s="7" t="s">
        <v>4</v>
      </c>
      <c r="D31" s="7" t="s">
        <v>5</v>
      </c>
      <c r="E31" s="12" t="s">
        <v>6</v>
      </c>
      <c r="F31" s="7" t="s">
        <v>7</v>
      </c>
      <c r="G31" s="7" t="s">
        <v>8</v>
      </c>
      <c r="H31" s="13" t="s">
        <v>9</v>
      </c>
    </row>
    <row r="32" ht="15.75" customHeight="1">
      <c r="B32" s="14" t="s">
        <v>25</v>
      </c>
      <c r="C32" s="15">
        <v>8.0</v>
      </c>
      <c r="D32" s="15">
        <v>4.0</v>
      </c>
      <c r="E32" s="15">
        <v>5.0</v>
      </c>
      <c r="F32" s="15">
        <v>6.0</v>
      </c>
      <c r="G32" s="16">
        <f t="shared" ref="G32:G35" si="4">F32*E32*D32</f>
        <v>120</v>
      </c>
      <c r="H32" s="17">
        <f>AVERAGE(C32:C35)</f>
        <v>5.75</v>
      </c>
    </row>
    <row r="33" ht="15.75" customHeight="1">
      <c r="B33" s="14" t="s">
        <v>26</v>
      </c>
      <c r="C33" s="15">
        <v>5.0</v>
      </c>
      <c r="D33" s="15">
        <v>3.0</v>
      </c>
      <c r="E33" s="15">
        <v>5.0</v>
      </c>
      <c r="F33" s="15">
        <v>6.0</v>
      </c>
      <c r="G33" s="16">
        <f t="shared" si="4"/>
        <v>90</v>
      </c>
      <c r="H33" s="18"/>
    </row>
    <row r="34" ht="15.75" customHeight="1">
      <c r="B34" s="14" t="s">
        <v>27</v>
      </c>
      <c r="C34" s="15">
        <v>5.0</v>
      </c>
      <c r="D34" s="15">
        <v>3.0</v>
      </c>
      <c r="E34" s="15">
        <v>5.0</v>
      </c>
      <c r="F34" s="15">
        <v>6.0</v>
      </c>
      <c r="G34" s="16">
        <f t="shared" si="4"/>
        <v>90</v>
      </c>
      <c r="H34" s="18"/>
    </row>
    <row r="35" ht="15.75" customHeight="1">
      <c r="B35" s="19" t="s">
        <v>28</v>
      </c>
      <c r="C35" s="20">
        <v>5.0</v>
      </c>
      <c r="D35" s="20">
        <v>3.0</v>
      </c>
      <c r="E35" s="20">
        <v>5.0</v>
      </c>
      <c r="F35" s="20">
        <v>6.0</v>
      </c>
      <c r="G35" s="21">
        <f t="shared" si="4"/>
        <v>90</v>
      </c>
      <c r="H35" s="22"/>
    </row>
    <row r="36" ht="15.75" customHeight="1"/>
    <row r="37" ht="15.75" customHeight="1"/>
    <row r="38" ht="15.75" customHeight="1">
      <c r="B38" s="24" t="s">
        <v>29</v>
      </c>
      <c r="C38" s="2" t="s">
        <v>1</v>
      </c>
      <c r="D38" s="3"/>
      <c r="E38" s="3"/>
      <c r="F38" s="3"/>
      <c r="G38" s="3"/>
      <c r="H38" s="4"/>
    </row>
    <row r="39" ht="15.75" customHeight="1">
      <c r="B39" s="5" t="s">
        <v>2</v>
      </c>
      <c r="C39" s="6"/>
      <c r="D39" s="7" t="str">
        <f>if(C39&gt;4,"No viable","Viable")</f>
        <v>Viable</v>
      </c>
      <c r="E39" s="8" t="str">
        <f>CONCATENATE("Las semanas destinadas son: "&amp; C39)</f>
        <v>Las semanas destinadas son: </v>
      </c>
      <c r="F39" s="9"/>
      <c r="G39" s="9"/>
      <c r="H39" s="10"/>
    </row>
    <row r="40" ht="15.75" customHeight="1">
      <c r="B40" s="11" t="s">
        <v>3</v>
      </c>
      <c r="C40" s="7" t="s">
        <v>4</v>
      </c>
      <c r="D40" s="7" t="s">
        <v>5</v>
      </c>
      <c r="E40" s="12" t="s">
        <v>6</v>
      </c>
      <c r="F40" s="7" t="s">
        <v>7</v>
      </c>
      <c r="G40" s="7" t="s">
        <v>8</v>
      </c>
      <c r="H40" s="13" t="s">
        <v>9</v>
      </c>
    </row>
    <row r="41" ht="15.75" customHeight="1">
      <c r="B41" s="14" t="s">
        <v>30</v>
      </c>
      <c r="C41" s="25">
        <v>8.0</v>
      </c>
      <c r="D41" s="25">
        <v>4.0</v>
      </c>
      <c r="E41" s="25">
        <v>4.0</v>
      </c>
      <c r="F41" s="25">
        <v>5.0</v>
      </c>
      <c r="G41" s="26">
        <f t="shared" ref="G41:G44" si="5">F41*E41*D41</f>
        <v>80</v>
      </c>
      <c r="H41" s="17">
        <f>AVERAGE(C41:C44)</f>
        <v>6</v>
      </c>
    </row>
    <row r="42" ht="15.75" customHeight="1">
      <c r="B42" s="14" t="s">
        <v>31</v>
      </c>
      <c r="C42" s="25">
        <v>5.0</v>
      </c>
      <c r="D42" s="25">
        <v>3.0</v>
      </c>
      <c r="E42" s="25">
        <v>4.0</v>
      </c>
      <c r="F42" s="25">
        <v>5.0</v>
      </c>
      <c r="G42" s="26">
        <f t="shared" si="5"/>
        <v>60</v>
      </c>
      <c r="H42" s="18"/>
    </row>
    <row r="43" ht="15.75" customHeight="1">
      <c r="B43" s="14" t="s">
        <v>32</v>
      </c>
      <c r="C43" s="25">
        <v>3.0</v>
      </c>
      <c r="D43" s="25">
        <v>2.0</v>
      </c>
      <c r="E43" s="25">
        <v>4.0</v>
      </c>
      <c r="F43" s="25">
        <v>5.0</v>
      </c>
      <c r="G43" s="26">
        <f t="shared" si="5"/>
        <v>40</v>
      </c>
      <c r="H43" s="18"/>
    </row>
    <row r="44" ht="15.75" customHeight="1">
      <c r="B44" s="19" t="s">
        <v>33</v>
      </c>
      <c r="C44" s="27">
        <v>8.0</v>
      </c>
      <c r="D44" s="27">
        <v>4.0</v>
      </c>
      <c r="E44" s="27">
        <v>4.0</v>
      </c>
      <c r="F44" s="27">
        <v>5.0</v>
      </c>
      <c r="G44" s="28">
        <f t="shared" si="5"/>
        <v>80</v>
      </c>
      <c r="H44" s="22"/>
    </row>
    <row r="45" ht="15.75" customHeight="1"/>
    <row r="46" ht="15.75" customHeight="1"/>
    <row r="47" ht="15.75" customHeight="1">
      <c r="B47" s="29" t="s">
        <v>34</v>
      </c>
      <c r="C47" s="30" t="s">
        <v>1</v>
      </c>
      <c r="D47" s="3"/>
      <c r="E47" s="3"/>
      <c r="F47" s="3"/>
      <c r="G47" s="3"/>
      <c r="H47" s="4"/>
    </row>
    <row r="48" ht="15.75" customHeight="1">
      <c r="B48" s="31" t="s">
        <v>2</v>
      </c>
      <c r="C48" s="32"/>
      <c r="D48" s="33" t="str">
        <f>IF(C48&gt;4,"No viable","Viable")</f>
        <v>Viable</v>
      </c>
      <c r="E48" s="34" t="str">
        <f>CONCATENATE("Las semanas destinadas son: "&amp; C48)</f>
        <v>Las semanas destinadas son: </v>
      </c>
      <c r="F48" s="9"/>
      <c r="G48" s="9"/>
      <c r="H48" s="10"/>
    </row>
    <row r="49" ht="15.75" customHeight="1">
      <c r="B49" s="31" t="s">
        <v>3</v>
      </c>
      <c r="C49" s="33" t="s">
        <v>4</v>
      </c>
      <c r="D49" s="33" t="s">
        <v>5</v>
      </c>
      <c r="E49" s="33" t="s">
        <v>6</v>
      </c>
      <c r="F49" s="33" t="s">
        <v>7</v>
      </c>
      <c r="G49" s="33" t="s">
        <v>8</v>
      </c>
      <c r="H49" s="35" t="s">
        <v>9</v>
      </c>
    </row>
    <row r="50" ht="15.75" customHeight="1">
      <c r="B50" s="36" t="s">
        <v>35</v>
      </c>
      <c r="C50" s="25">
        <v>8.0</v>
      </c>
      <c r="D50" s="25">
        <v>4.0</v>
      </c>
      <c r="E50" s="25">
        <v>5.0</v>
      </c>
      <c r="F50" s="25">
        <v>6.0</v>
      </c>
      <c r="G50" s="37">
        <f t="shared" ref="G50:G53" si="6">F50*E50*D50</f>
        <v>120</v>
      </c>
      <c r="H50" s="38">
        <f>AVERAGE(C50:C53)</f>
        <v>7.25</v>
      </c>
    </row>
    <row r="51" ht="15.75" customHeight="1">
      <c r="B51" s="36" t="s">
        <v>36</v>
      </c>
      <c r="C51" s="25">
        <v>3.0</v>
      </c>
      <c r="D51" s="25">
        <v>4.0</v>
      </c>
      <c r="E51" s="25">
        <v>3.0</v>
      </c>
      <c r="F51" s="25">
        <v>6.0</v>
      </c>
      <c r="G51" s="37">
        <f t="shared" si="6"/>
        <v>72</v>
      </c>
      <c r="H51" s="18"/>
    </row>
    <row r="52" ht="15.75" customHeight="1">
      <c r="B52" s="36" t="s">
        <v>37</v>
      </c>
      <c r="C52" s="25">
        <v>5.0</v>
      </c>
      <c r="D52" s="25">
        <v>4.0</v>
      </c>
      <c r="E52" s="25">
        <v>4.0</v>
      </c>
      <c r="F52" s="25">
        <v>6.0</v>
      </c>
      <c r="G52" s="37">
        <f t="shared" si="6"/>
        <v>96</v>
      </c>
      <c r="H52" s="18"/>
    </row>
    <row r="53" ht="15.75" customHeight="1">
      <c r="B53" s="39" t="s">
        <v>38</v>
      </c>
      <c r="C53" s="27">
        <v>13.0</v>
      </c>
      <c r="D53" s="27">
        <v>4.0</v>
      </c>
      <c r="E53" s="27">
        <v>6.0</v>
      </c>
      <c r="F53" s="27">
        <v>6.0</v>
      </c>
      <c r="G53" s="40">
        <f t="shared" si="6"/>
        <v>144</v>
      </c>
      <c r="H53" s="22"/>
    </row>
    <row r="54" ht="15.75" customHeight="1"/>
    <row r="55" ht="15.75" customHeight="1"/>
    <row r="56" ht="15.75" customHeight="1">
      <c r="B56" s="29" t="s">
        <v>39</v>
      </c>
      <c r="C56" s="30" t="s">
        <v>1</v>
      </c>
      <c r="D56" s="3"/>
      <c r="E56" s="3"/>
      <c r="F56" s="3"/>
      <c r="G56" s="3"/>
      <c r="H56" s="4"/>
    </row>
    <row r="57" ht="15.75" customHeight="1">
      <c r="B57" s="31" t="s">
        <v>2</v>
      </c>
      <c r="C57" s="32"/>
      <c r="D57" s="33" t="str">
        <f>IF(C57&gt;4,"No viable","Viable")</f>
        <v>Viable</v>
      </c>
      <c r="E57" s="34" t="str">
        <f>CONCATENATE("Las semanas destinadas son: "&amp; C57)</f>
        <v>Las semanas destinadas son: </v>
      </c>
      <c r="F57" s="9"/>
      <c r="G57" s="9"/>
      <c r="H57" s="10"/>
    </row>
    <row r="58" ht="15.75" customHeight="1">
      <c r="B58" s="31" t="s">
        <v>3</v>
      </c>
      <c r="C58" s="33" t="s">
        <v>4</v>
      </c>
      <c r="D58" s="33" t="s">
        <v>5</v>
      </c>
      <c r="E58" s="33" t="s">
        <v>6</v>
      </c>
      <c r="F58" s="33" t="s">
        <v>7</v>
      </c>
      <c r="G58" s="33" t="s">
        <v>8</v>
      </c>
      <c r="H58" s="35" t="s">
        <v>9</v>
      </c>
    </row>
    <row r="59" ht="15.75" customHeight="1">
      <c r="B59" s="36" t="s">
        <v>40</v>
      </c>
      <c r="C59" s="25">
        <v>5.0</v>
      </c>
      <c r="D59" s="25">
        <v>3.0</v>
      </c>
      <c r="E59" s="25">
        <v>4.0</v>
      </c>
      <c r="F59" s="25">
        <v>5.0</v>
      </c>
      <c r="G59" s="37">
        <f t="shared" ref="G59:G62" si="7">F59*E59*D59</f>
        <v>60</v>
      </c>
      <c r="H59" s="38">
        <f>AVERAGE(C59:C62)</f>
        <v>5.75</v>
      </c>
    </row>
    <row r="60" ht="15.75" customHeight="1">
      <c r="B60" s="36" t="s">
        <v>41</v>
      </c>
      <c r="C60" s="25">
        <v>8.0</v>
      </c>
      <c r="D60" s="25">
        <v>4.0</v>
      </c>
      <c r="E60" s="25">
        <v>4.0</v>
      </c>
      <c r="F60" s="25">
        <v>5.0</v>
      </c>
      <c r="G60" s="37">
        <f t="shared" si="7"/>
        <v>80</v>
      </c>
      <c r="H60" s="18"/>
    </row>
    <row r="61" ht="15.75" customHeight="1">
      <c r="B61" s="36" t="s">
        <v>42</v>
      </c>
      <c r="C61" s="25">
        <v>5.0</v>
      </c>
      <c r="D61" s="25">
        <v>2.0</v>
      </c>
      <c r="E61" s="25">
        <v>4.0</v>
      </c>
      <c r="F61" s="25">
        <v>5.0</v>
      </c>
      <c r="G61" s="37">
        <f t="shared" si="7"/>
        <v>40</v>
      </c>
      <c r="H61" s="18"/>
    </row>
    <row r="62" ht="15.75" customHeight="1">
      <c r="B62" s="39" t="s">
        <v>43</v>
      </c>
      <c r="C62" s="27">
        <v>5.0</v>
      </c>
      <c r="D62" s="27">
        <v>3.0</v>
      </c>
      <c r="E62" s="27">
        <v>4.0</v>
      </c>
      <c r="F62" s="27">
        <v>5.0</v>
      </c>
      <c r="G62" s="40">
        <f t="shared" si="7"/>
        <v>60</v>
      </c>
      <c r="H62" s="22"/>
    </row>
    <row r="63" ht="15.75" customHeight="1"/>
    <row r="64" ht="15.75" customHeight="1"/>
    <row r="65" ht="15.75" customHeight="1">
      <c r="B65" s="29" t="s">
        <v>44</v>
      </c>
      <c r="C65" s="30" t="s">
        <v>1</v>
      </c>
      <c r="D65" s="3"/>
      <c r="E65" s="3"/>
      <c r="F65" s="3"/>
      <c r="G65" s="3"/>
      <c r="H65" s="4"/>
    </row>
    <row r="66" ht="15.75" customHeight="1">
      <c r="B66" s="31" t="s">
        <v>2</v>
      </c>
      <c r="C66" s="32"/>
      <c r="D66" s="33" t="str">
        <f>IF(C66&gt;4,"No viable","Viable")</f>
        <v>Viable</v>
      </c>
      <c r="E66" s="34" t="str">
        <f>CONCATENATE("Las semanas destinadas son: "&amp; C66)</f>
        <v>Las semanas destinadas son: </v>
      </c>
      <c r="F66" s="9"/>
      <c r="G66" s="9"/>
      <c r="H66" s="10"/>
    </row>
    <row r="67" ht="15.75" customHeight="1">
      <c r="B67" s="31" t="s">
        <v>3</v>
      </c>
      <c r="C67" s="33" t="s">
        <v>4</v>
      </c>
      <c r="D67" s="33" t="s">
        <v>5</v>
      </c>
      <c r="E67" s="33" t="s">
        <v>6</v>
      </c>
      <c r="F67" s="33" t="s">
        <v>7</v>
      </c>
      <c r="G67" s="33" t="s">
        <v>8</v>
      </c>
      <c r="H67" s="35" t="s">
        <v>9</v>
      </c>
    </row>
    <row r="68" ht="15.75" customHeight="1">
      <c r="B68" s="36" t="s">
        <v>45</v>
      </c>
      <c r="C68" s="25">
        <v>8.0</v>
      </c>
      <c r="D68" s="25">
        <v>4.0</v>
      </c>
      <c r="E68" s="25">
        <v>4.0</v>
      </c>
      <c r="F68" s="25">
        <v>6.0</v>
      </c>
      <c r="G68" s="37">
        <f t="shared" ref="G68:G71" si="8">F68*E68*D68</f>
        <v>96</v>
      </c>
      <c r="H68" s="38">
        <f>AVERAGE(C68:C71)</f>
        <v>7.25</v>
      </c>
    </row>
    <row r="69" ht="15.75" customHeight="1">
      <c r="B69" s="36" t="s">
        <v>46</v>
      </c>
      <c r="C69" s="25">
        <v>5.0</v>
      </c>
      <c r="D69" s="25">
        <v>4.0</v>
      </c>
      <c r="E69" s="25">
        <v>3.0</v>
      </c>
      <c r="F69" s="25">
        <v>6.0</v>
      </c>
      <c r="G69" s="37">
        <f t="shared" si="8"/>
        <v>72</v>
      </c>
      <c r="H69" s="18"/>
    </row>
    <row r="70" ht="15.75" customHeight="1">
      <c r="B70" s="36" t="s">
        <v>47</v>
      </c>
      <c r="C70" s="25">
        <v>8.0</v>
      </c>
      <c r="D70" s="25">
        <v>4.0</v>
      </c>
      <c r="E70" s="25">
        <v>4.0</v>
      </c>
      <c r="F70" s="25">
        <v>6.0</v>
      </c>
      <c r="G70" s="37">
        <f t="shared" si="8"/>
        <v>96</v>
      </c>
      <c r="H70" s="18"/>
    </row>
    <row r="71" ht="15.75" customHeight="1">
      <c r="B71" s="39" t="s">
        <v>48</v>
      </c>
      <c r="C71" s="27">
        <v>8.0</v>
      </c>
      <c r="D71" s="27">
        <v>4.0</v>
      </c>
      <c r="E71" s="27">
        <v>4.0</v>
      </c>
      <c r="F71" s="27">
        <v>6.0</v>
      </c>
      <c r="G71" s="40">
        <f t="shared" si="8"/>
        <v>96</v>
      </c>
      <c r="H71" s="22"/>
    </row>
    <row r="72" ht="15.75" customHeight="1"/>
    <row r="73" ht="15.75" customHeight="1"/>
    <row r="74" ht="15.75" customHeight="1">
      <c r="B74" s="29" t="s">
        <v>49</v>
      </c>
      <c r="C74" s="30" t="s">
        <v>1</v>
      </c>
      <c r="D74" s="3"/>
      <c r="E74" s="3"/>
      <c r="F74" s="3"/>
      <c r="G74" s="3"/>
      <c r="H74" s="4"/>
    </row>
    <row r="75" ht="15.75" customHeight="1">
      <c r="B75" s="31" t="s">
        <v>2</v>
      </c>
      <c r="C75" s="32"/>
      <c r="D75" s="33" t="str">
        <f>IF(C75&gt;4,"No viable","Viable")</f>
        <v>Viable</v>
      </c>
      <c r="E75" s="34" t="str">
        <f>CONCATENATE("Las semanas destinadas son: "&amp; C75)</f>
        <v>Las semanas destinadas son: </v>
      </c>
      <c r="F75" s="9"/>
      <c r="G75" s="9"/>
      <c r="H75" s="10"/>
    </row>
    <row r="76" ht="15.75" customHeight="1">
      <c r="B76" s="31" t="s">
        <v>3</v>
      </c>
      <c r="C76" s="33" t="s">
        <v>4</v>
      </c>
      <c r="D76" s="33" t="s">
        <v>5</v>
      </c>
      <c r="E76" s="33" t="s">
        <v>6</v>
      </c>
      <c r="F76" s="33" t="s">
        <v>7</v>
      </c>
      <c r="G76" s="33" t="s">
        <v>8</v>
      </c>
      <c r="H76" s="35" t="s">
        <v>9</v>
      </c>
    </row>
    <row r="77" ht="15.75" customHeight="1">
      <c r="B77" s="36" t="s">
        <v>50</v>
      </c>
      <c r="C77" s="25">
        <v>8.0</v>
      </c>
      <c r="D77" s="25">
        <v>4.0</v>
      </c>
      <c r="E77" s="25">
        <v>4.0</v>
      </c>
      <c r="F77" s="25">
        <v>5.0</v>
      </c>
      <c r="G77" s="37">
        <f t="shared" ref="G77:G80" si="9">F77*E77*D77</f>
        <v>80</v>
      </c>
      <c r="H77" s="38">
        <f>AVERAGE(C77:C80)</f>
        <v>6</v>
      </c>
    </row>
    <row r="78" ht="15.75" customHeight="1">
      <c r="B78" s="36" t="s">
        <v>51</v>
      </c>
      <c r="C78" s="25">
        <v>5.0</v>
      </c>
      <c r="D78" s="25">
        <v>3.0</v>
      </c>
      <c r="E78" s="25">
        <v>3.0</v>
      </c>
      <c r="F78" s="25">
        <v>5.0</v>
      </c>
      <c r="G78" s="37">
        <f t="shared" si="9"/>
        <v>45</v>
      </c>
      <c r="H78" s="18"/>
    </row>
    <row r="79" ht="15.75" customHeight="1">
      <c r="B79" s="36" t="s">
        <v>52</v>
      </c>
      <c r="C79" s="25">
        <v>3.0</v>
      </c>
      <c r="D79" s="25">
        <v>2.0</v>
      </c>
      <c r="E79" s="25">
        <v>2.0</v>
      </c>
      <c r="F79" s="25">
        <v>5.0</v>
      </c>
      <c r="G79" s="37">
        <f t="shared" si="9"/>
        <v>20</v>
      </c>
      <c r="H79" s="18"/>
    </row>
    <row r="80" ht="15.75" customHeight="1">
      <c r="B80" s="39" t="s">
        <v>53</v>
      </c>
      <c r="C80" s="27">
        <v>8.0</v>
      </c>
      <c r="D80" s="27">
        <v>4.0</v>
      </c>
      <c r="E80" s="27">
        <v>4.0</v>
      </c>
      <c r="F80" s="27">
        <v>5.0</v>
      </c>
      <c r="G80" s="40">
        <f t="shared" si="9"/>
        <v>80</v>
      </c>
      <c r="H80" s="22"/>
    </row>
    <row r="81" ht="15.75" customHeight="1"/>
    <row r="82" ht="15.75" customHeight="1"/>
    <row r="83" ht="15.75" customHeight="1">
      <c r="B83" s="29" t="s">
        <v>54</v>
      </c>
      <c r="C83" s="30" t="s">
        <v>1</v>
      </c>
      <c r="D83" s="3"/>
      <c r="E83" s="3"/>
      <c r="F83" s="3"/>
      <c r="G83" s="3"/>
      <c r="H83" s="4"/>
    </row>
    <row r="84" ht="15.75" customHeight="1">
      <c r="B84" s="31" t="s">
        <v>2</v>
      </c>
      <c r="C84" s="32"/>
      <c r="D84" s="33" t="str">
        <f>IF(C84&gt;4,"No viable","Viable")</f>
        <v>Viable</v>
      </c>
      <c r="E84" s="34" t="str">
        <f>CONCATENATE("Las semanas destinadas son: "&amp; C84)</f>
        <v>Las semanas destinadas son: </v>
      </c>
      <c r="F84" s="9"/>
      <c r="G84" s="9"/>
      <c r="H84" s="10"/>
    </row>
    <row r="85" ht="15.75" customHeight="1">
      <c r="B85" s="31" t="s">
        <v>3</v>
      </c>
      <c r="C85" s="33" t="s">
        <v>4</v>
      </c>
      <c r="D85" s="33" t="s">
        <v>5</v>
      </c>
      <c r="E85" s="33" t="s">
        <v>6</v>
      </c>
      <c r="F85" s="33" t="s">
        <v>7</v>
      </c>
      <c r="G85" s="33" t="s">
        <v>8</v>
      </c>
      <c r="H85" s="35" t="s">
        <v>9</v>
      </c>
    </row>
    <row r="86" ht="15.75" customHeight="1">
      <c r="B86" s="36" t="s">
        <v>55</v>
      </c>
      <c r="C86" s="25">
        <v>5.0</v>
      </c>
      <c r="D86" s="25">
        <v>3.0</v>
      </c>
      <c r="E86" s="25">
        <v>3.0</v>
      </c>
      <c r="F86" s="25">
        <v>5.0</v>
      </c>
      <c r="G86" s="37">
        <f t="shared" ref="G86:G89" si="10">F86*E86*D86</f>
        <v>45</v>
      </c>
      <c r="H86" s="38">
        <f>AVERAGE(C86:C89)</f>
        <v>5</v>
      </c>
    </row>
    <row r="87" ht="15.75" customHeight="1">
      <c r="B87" s="36" t="s">
        <v>56</v>
      </c>
      <c r="C87" s="25">
        <v>5.0</v>
      </c>
      <c r="D87" s="25">
        <v>3.0</v>
      </c>
      <c r="E87" s="25">
        <v>3.0</v>
      </c>
      <c r="F87" s="25">
        <v>5.0</v>
      </c>
      <c r="G87" s="37">
        <f t="shared" si="10"/>
        <v>45</v>
      </c>
      <c r="H87" s="18"/>
    </row>
    <row r="88" ht="15.75" customHeight="1">
      <c r="B88" s="36" t="s">
        <v>57</v>
      </c>
      <c r="C88" s="25">
        <v>5.0</v>
      </c>
      <c r="D88" s="25">
        <v>3.0</v>
      </c>
      <c r="E88" s="25">
        <v>3.0</v>
      </c>
      <c r="F88" s="25">
        <v>5.0</v>
      </c>
      <c r="G88" s="37">
        <f t="shared" si="10"/>
        <v>45</v>
      </c>
      <c r="H88" s="18"/>
    </row>
    <row r="89" ht="15.75" customHeight="1">
      <c r="B89" s="39" t="s">
        <v>58</v>
      </c>
      <c r="C89" s="27">
        <v>5.0</v>
      </c>
      <c r="D89" s="27">
        <v>3.0</v>
      </c>
      <c r="E89" s="27">
        <v>3.0</v>
      </c>
      <c r="F89" s="27">
        <v>5.0</v>
      </c>
      <c r="G89" s="40">
        <f t="shared" si="10"/>
        <v>45</v>
      </c>
      <c r="H89" s="22"/>
    </row>
    <row r="90" ht="15.75" customHeight="1"/>
    <row r="91" ht="15.75" customHeight="1"/>
    <row r="92" ht="15.75" customHeight="1">
      <c r="B92" s="29" t="s">
        <v>59</v>
      </c>
      <c r="C92" s="30" t="s">
        <v>1</v>
      </c>
      <c r="D92" s="3"/>
      <c r="E92" s="3"/>
      <c r="F92" s="3"/>
      <c r="G92" s="3"/>
      <c r="H92" s="4"/>
    </row>
    <row r="93" ht="15.75" customHeight="1">
      <c r="B93" s="31" t="s">
        <v>2</v>
      </c>
      <c r="C93" s="32"/>
      <c r="D93" s="33" t="str">
        <f>IF(C93&gt;4,"No viable","Viable")</f>
        <v>Viable</v>
      </c>
      <c r="E93" s="34" t="str">
        <f>CONCATENATE("Las semanas destinadas son: "&amp; C93)</f>
        <v>Las semanas destinadas son: </v>
      </c>
      <c r="F93" s="9"/>
      <c r="G93" s="9"/>
      <c r="H93" s="10"/>
    </row>
    <row r="94" ht="15.75" customHeight="1">
      <c r="B94" s="31" t="s">
        <v>3</v>
      </c>
      <c r="C94" s="33" t="s">
        <v>4</v>
      </c>
      <c r="D94" s="33" t="s">
        <v>5</v>
      </c>
      <c r="E94" s="33" t="s">
        <v>6</v>
      </c>
      <c r="F94" s="33" t="s">
        <v>7</v>
      </c>
      <c r="G94" s="33" t="s">
        <v>8</v>
      </c>
      <c r="H94" s="35" t="s">
        <v>9</v>
      </c>
    </row>
    <row r="95" ht="15.75" customHeight="1">
      <c r="B95" s="36" t="s">
        <v>60</v>
      </c>
      <c r="C95" s="25">
        <v>3.0</v>
      </c>
      <c r="D95" s="25">
        <v>3.0</v>
      </c>
      <c r="E95" s="25">
        <v>2.0</v>
      </c>
      <c r="F95" s="25">
        <v>5.0</v>
      </c>
      <c r="G95" s="37">
        <f t="shared" ref="G95:G98" si="11">F95*E95*D95</f>
        <v>30</v>
      </c>
      <c r="H95" s="38">
        <f>AVERAGE(C95:C98)</f>
        <v>7.25</v>
      </c>
    </row>
    <row r="96" ht="15.75" customHeight="1">
      <c r="B96" s="36" t="s">
        <v>61</v>
      </c>
      <c r="C96" s="25">
        <v>5.0</v>
      </c>
      <c r="D96" s="25">
        <v>4.0</v>
      </c>
      <c r="E96" s="25">
        <v>3.0</v>
      </c>
      <c r="F96" s="25">
        <v>5.0</v>
      </c>
      <c r="G96" s="37">
        <f t="shared" si="11"/>
        <v>60</v>
      </c>
      <c r="H96" s="18"/>
    </row>
    <row r="97" ht="15.75" customHeight="1">
      <c r="B97" s="36" t="s">
        <v>62</v>
      </c>
      <c r="C97" s="25">
        <v>8.0</v>
      </c>
      <c r="D97" s="25">
        <v>4.0</v>
      </c>
      <c r="E97" s="25">
        <v>3.0</v>
      </c>
      <c r="F97" s="25">
        <v>5.0</v>
      </c>
      <c r="G97" s="37">
        <f t="shared" si="11"/>
        <v>60</v>
      </c>
      <c r="H97" s="18"/>
    </row>
    <row r="98" ht="15.75" customHeight="1">
      <c r="B98" s="39" t="s">
        <v>63</v>
      </c>
      <c r="C98" s="27">
        <v>13.0</v>
      </c>
      <c r="D98" s="27">
        <v>4.0</v>
      </c>
      <c r="E98" s="27">
        <v>4.0</v>
      </c>
      <c r="F98" s="27">
        <v>5.0</v>
      </c>
      <c r="G98" s="40">
        <f t="shared" si="11"/>
        <v>80</v>
      </c>
      <c r="H98" s="22"/>
    </row>
    <row r="99" ht="15.75" customHeight="1"/>
    <row r="100" ht="15.75" customHeight="1"/>
    <row r="101" ht="15.75" customHeight="1">
      <c r="B101" s="29" t="s">
        <v>64</v>
      </c>
      <c r="C101" s="30" t="s">
        <v>1</v>
      </c>
      <c r="D101" s="3"/>
      <c r="E101" s="3"/>
      <c r="F101" s="3"/>
      <c r="G101" s="3"/>
      <c r="H101" s="4"/>
    </row>
    <row r="102" ht="15.75" customHeight="1">
      <c r="B102" s="31" t="s">
        <v>2</v>
      </c>
      <c r="C102" s="32"/>
      <c r="D102" s="33" t="str">
        <f>IF(C102&gt;4,"No viable","Viable")</f>
        <v>Viable</v>
      </c>
      <c r="E102" s="34" t="str">
        <f>CONCATENATE("Las semanas destinadas son: "&amp; C102)</f>
        <v>Las semanas destinadas son: </v>
      </c>
      <c r="F102" s="9"/>
      <c r="G102" s="9"/>
      <c r="H102" s="10"/>
    </row>
    <row r="103" ht="15.75" customHeight="1">
      <c r="B103" s="31" t="s">
        <v>3</v>
      </c>
      <c r="C103" s="33" t="s">
        <v>4</v>
      </c>
      <c r="D103" s="33" t="s">
        <v>5</v>
      </c>
      <c r="E103" s="33" t="s">
        <v>6</v>
      </c>
      <c r="F103" s="33" t="s">
        <v>7</v>
      </c>
      <c r="G103" s="33" t="s">
        <v>8</v>
      </c>
      <c r="H103" s="35" t="s">
        <v>9</v>
      </c>
    </row>
    <row r="104" ht="15.75" customHeight="1">
      <c r="B104" s="36" t="s">
        <v>65</v>
      </c>
      <c r="C104" s="25">
        <v>5.0</v>
      </c>
      <c r="D104" s="25">
        <v>3.0</v>
      </c>
      <c r="E104" s="25">
        <v>3.0</v>
      </c>
      <c r="F104" s="25">
        <v>6.0</v>
      </c>
      <c r="G104" s="37">
        <f t="shared" ref="G104:G107" si="12">F104*E104*D104</f>
        <v>54</v>
      </c>
      <c r="H104" s="38">
        <f>AVERAGE(C104:C107)</f>
        <v>7.75</v>
      </c>
    </row>
    <row r="105" ht="15.75" customHeight="1">
      <c r="B105" s="36" t="s">
        <v>66</v>
      </c>
      <c r="C105" s="25">
        <v>13.0</v>
      </c>
      <c r="D105" s="25">
        <v>4.0</v>
      </c>
      <c r="E105" s="25">
        <v>5.0</v>
      </c>
      <c r="F105" s="25">
        <v>6.0</v>
      </c>
      <c r="G105" s="37">
        <f t="shared" si="12"/>
        <v>120</v>
      </c>
      <c r="H105" s="18"/>
    </row>
    <row r="106" ht="15.75" customHeight="1">
      <c r="B106" s="36" t="s">
        <v>67</v>
      </c>
      <c r="C106" s="25">
        <v>8.0</v>
      </c>
      <c r="D106" s="25">
        <v>3.0</v>
      </c>
      <c r="E106" s="25">
        <v>4.0</v>
      </c>
      <c r="F106" s="25">
        <v>6.0</v>
      </c>
      <c r="G106" s="37">
        <f t="shared" si="12"/>
        <v>72</v>
      </c>
      <c r="H106" s="18"/>
    </row>
    <row r="107" ht="15.75" customHeight="1">
      <c r="B107" s="39" t="s">
        <v>68</v>
      </c>
      <c r="C107" s="27">
        <v>5.0</v>
      </c>
      <c r="D107" s="27">
        <v>3.0</v>
      </c>
      <c r="E107" s="27">
        <v>3.0</v>
      </c>
      <c r="F107" s="27">
        <v>6.0</v>
      </c>
      <c r="G107" s="40">
        <f t="shared" si="12"/>
        <v>54</v>
      </c>
      <c r="H107" s="22"/>
    </row>
    <row r="108" ht="15.75" customHeight="1"/>
    <row r="109" ht="15.75" customHeight="1"/>
    <row r="110" ht="15.75" customHeight="1">
      <c r="B110" s="29" t="s">
        <v>69</v>
      </c>
      <c r="C110" s="30" t="s">
        <v>1</v>
      </c>
      <c r="D110" s="3"/>
      <c r="E110" s="3"/>
      <c r="F110" s="3"/>
      <c r="G110" s="3"/>
      <c r="H110" s="4"/>
    </row>
    <row r="111" ht="15.75" customHeight="1">
      <c r="B111" s="31" t="s">
        <v>2</v>
      </c>
      <c r="C111" s="32"/>
      <c r="D111" s="33" t="str">
        <f>IF(C111&gt;4,"No viable","Viable")</f>
        <v>Viable</v>
      </c>
      <c r="E111" s="34" t="str">
        <f>CONCATENATE("Las semanas destinadas son: "&amp; C111)</f>
        <v>Las semanas destinadas son: </v>
      </c>
      <c r="F111" s="9"/>
      <c r="G111" s="9"/>
      <c r="H111" s="10"/>
    </row>
    <row r="112" ht="15.75" customHeight="1">
      <c r="B112" s="31" t="s">
        <v>3</v>
      </c>
      <c r="C112" s="33" t="s">
        <v>4</v>
      </c>
      <c r="D112" s="33" t="s">
        <v>5</v>
      </c>
      <c r="E112" s="33" t="s">
        <v>6</v>
      </c>
      <c r="F112" s="33" t="s">
        <v>7</v>
      </c>
      <c r="G112" s="33" t="s">
        <v>8</v>
      </c>
      <c r="H112" s="35" t="s">
        <v>9</v>
      </c>
    </row>
    <row r="113" ht="15.75" customHeight="1">
      <c r="B113" s="36" t="s">
        <v>70</v>
      </c>
      <c r="C113" s="25">
        <v>3.0</v>
      </c>
      <c r="D113" s="25">
        <v>3.0</v>
      </c>
      <c r="E113" s="25">
        <v>3.0</v>
      </c>
      <c r="F113" s="25">
        <v>5.0</v>
      </c>
      <c r="G113" s="37">
        <f t="shared" ref="G113:G116" si="13">F113*E113*D113</f>
        <v>45</v>
      </c>
      <c r="H113" s="38">
        <f>AVERAGE(C113:C116)</f>
        <v>6</v>
      </c>
    </row>
    <row r="114" ht="15.75" customHeight="1">
      <c r="B114" s="36" t="s">
        <v>71</v>
      </c>
      <c r="C114" s="25">
        <v>8.0</v>
      </c>
      <c r="D114" s="25">
        <v>4.0</v>
      </c>
      <c r="E114" s="25">
        <v>4.0</v>
      </c>
      <c r="F114" s="25">
        <v>5.0</v>
      </c>
      <c r="G114" s="37">
        <f t="shared" si="13"/>
        <v>80</v>
      </c>
      <c r="H114" s="18"/>
    </row>
    <row r="115" ht="15.75" customHeight="1">
      <c r="B115" s="36" t="s">
        <v>72</v>
      </c>
      <c r="C115" s="25">
        <v>8.0</v>
      </c>
      <c r="D115" s="25">
        <v>4.0</v>
      </c>
      <c r="E115" s="25">
        <v>4.0</v>
      </c>
      <c r="F115" s="25">
        <v>5.0</v>
      </c>
      <c r="G115" s="37">
        <f t="shared" si="13"/>
        <v>80</v>
      </c>
      <c r="H115" s="18"/>
    </row>
    <row r="116" ht="15.75" customHeight="1">
      <c r="B116" s="36" t="s">
        <v>73</v>
      </c>
      <c r="C116" s="25">
        <v>5.0</v>
      </c>
      <c r="D116" s="25">
        <v>3.0</v>
      </c>
      <c r="E116" s="25">
        <v>4.0</v>
      </c>
      <c r="F116" s="25">
        <v>5.0</v>
      </c>
      <c r="G116" s="37">
        <f t="shared" si="13"/>
        <v>60</v>
      </c>
      <c r="H116" s="41"/>
    </row>
    <row r="117" ht="15.75" customHeight="1">
      <c r="B117" s="42"/>
      <c r="C117" s="43"/>
      <c r="D117" s="43"/>
      <c r="E117" s="43"/>
      <c r="F117" s="43"/>
      <c r="G117" s="43"/>
      <c r="H117" s="44"/>
    </row>
    <row r="118" ht="15.75" customHeight="1"/>
    <row r="119" ht="15.75" customHeight="1"/>
    <row r="120" ht="15.75" customHeight="1">
      <c r="B120" s="29" t="s">
        <v>74</v>
      </c>
      <c r="C120" s="30" t="s">
        <v>1</v>
      </c>
      <c r="D120" s="3"/>
      <c r="E120" s="3"/>
      <c r="F120" s="3"/>
      <c r="G120" s="3"/>
      <c r="H120" s="4"/>
    </row>
    <row r="121" ht="15.75" customHeight="1">
      <c r="B121" s="31" t="s">
        <v>2</v>
      </c>
      <c r="C121" s="32"/>
      <c r="D121" s="33" t="str">
        <f>IF(C121&gt;4,"No viable","Viable")</f>
        <v>Viable</v>
      </c>
      <c r="E121" s="34" t="str">
        <f>CONCATENATE("Las semanas destinadas son: "&amp; C121)</f>
        <v>Las semanas destinadas son: </v>
      </c>
      <c r="F121" s="9"/>
      <c r="G121" s="9"/>
      <c r="H121" s="10"/>
    </row>
    <row r="122" ht="15.75" customHeight="1">
      <c r="B122" s="31" t="s">
        <v>3</v>
      </c>
      <c r="C122" s="33" t="s">
        <v>4</v>
      </c>
      <c r="D122" s="33" t="s">
        <v>5</v>
      </c>
      <c r="E122" s="33" t="s">
        <v>6</v>
      </c>
      <c r="F122" s="33" t="s">
        <v>7</v>
      </c>
      <c r="G122" s="33" t="s">
        <v>8</v>
      </c>
      <c r="H122" s="35" t="s">
        <v>9</v>
      </c>
    </row>
    <row r="123" ht="15.75" customHeight="1">
      <c r="B123" s="36" t="s">
        <v>75</v>
      </c>
      <c r="C123" s="25">
        <v>13.0</v>
      </c>
      <c r="D123" s="25">
        <v>4.0</v>
      </c>
      <c r="E123" s="25">
        <v>5.0</v>
      </c>
      <c r="F123" s="25">
        <v>5.0</v>
      </c>
      <c r="G123" s="25">
        <f t="shared" ref="G123:G126" si="14">F123*E123*D123</f>
        <v>100</v>
      </c>
      <c r="H123" s="38">
        <f>AVERAGE(C123:C126)</f>
        <v>8.5</v>
      </c>
    </row>
    <row r="124" ht="34.5" customHeight="1">
      <c r="B124" s="45" t="s">
        <v>76</v>
      </c>
      <c r="C124" s="25">
        <v>5.0</v>
      </c>
      <c r="D124" s="25">
        <v>4.0</v>
      </c>
      <c r="E124" s="25">
        <v>3.0</v>
      </c>
      <c r="F124" s="25">
        <v>5.0</v>
      </c>
      <c r="G124" s="25">
        <f t="shared" si="14"/>
        <v>60</v>
      </c>
      <c r="H124" s="18"/>
    </row>
    <row r="125" ht="15.75" customHeight="1">
      <c r="B125" s="36" t="s">
        <v>77</v>
      </c>
      <c r="C125" s="25">
        <v>8.0</v>
      </c>
      <c r="D125" s="25">
        <v>4.0</v>
      </c>
      <c r="E125" s="25">
        <v>4.0</v>
      </c>
      <c r="F125" s="25">
        <v>5.0</v>
      </c>
      <c r="G125" s="25">
        <f t="shared" si="14"/>
        <v>80</v>
      </c>
      <c r="H125" s="18"/>
    </row>
    <row r="126" ht="15.75" customHeight="1">
      <c r="B126" s="39" t="s">
        <v>78</v>
      </c>
      <c r="C126" s="27">
        <v>8.0</v>
      </c>
      <c r="D126" s="27">
        <v>4.0</v>
      </c>
      <c r="E126" s="27">
        <v>4.0</v>
      </c>
      <c r="F126" s="27">
        <v>5.0</v>
      </c>
      <c r="G126" s="27">
        <f t="shared" si="14"/>
        <v>80</v>
      </c>
      <c r="H126" s="22"/>
    </row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</sheetData>
  <mergeCells count="42">
    <mergeCell ref="C2:H2"/>
    <mergeCell ref="E3:H3"/>
    <mergeCell ref="H5:H8"/>
    <mergeCell ref="C11:H11"/>
    <mergeCell ref="E12:H12"/>
    <mergeCell ref="C20:H20"/>
    <mergeCell ref="E21:H21"/>
    <mergeCell ref="C29:H29"/>
    <mergeCell ref="E30:H30"/>
    <mergeCell ref="C38:H38"/>
    <mergeCell ref="E39:H39"/>
    <mergeCell ref="C47:H47"/>
    <mergeCell ref="E48:H48"/>
    <mergeCell ref="C56:H56"/>
    <mergeCell ref="H77:H80"/>
    <mergeCell ref="H86:H89"/>
    <mergeCell ref="H95:H98"/>
    <mergeCell ref="H104:H107"/>
    <mergeCell ref="H113:H116"/>
    <mergeCell ref="H123:H126"/>
    <mergeCell ref="H14:H17"/>
    <mergeCell ref="H23:H26"/>
    <mergeCell ref="H32:H35"/>
    <mergeCell ref="H41:H44"/>
    <mergeCell ref="H50:H53"/>
    <mergeCell ref="H59:H62"/>
    <mergeCell ref="H68:H71"/>
    <mergeCell ref="C92:H92"/>
    <mergeCell ref="E93:H93"/>
    <mergeCell ref="C101:H101"/>
    <mergeCell ref="E102:H102"/>
    <mergeCell ref="C110:H110"/>
    <mergeCell ref="E111:H111"/>
    <mergeCell ref="C120:H120"/>
    <mergeCell ref="E121:H121"/>
    <mergeCell ref="E57:H57"/>
    <mergeCell ref="C65:H65"/>
    <mergeCell ref="E66:H66"/>
    <mergeCell ref="C74:H74"/>
    <mergeCell ref="E75:H75"/>
    <mergeCell ref="C83:H83"/>
    <mergeCell ref="E84:H84"/>
  </mergeCells>
  <dataValidations>
    <dataValidation type="decimal" operator="lessThanOrEqual" allowBlank="1" showDropDown="1" showErrorMessage="1" sqref="C3 C12 C21 C30 C39 C48 C57 C66 C75 C84 C93 C102 C111 C121">
      <formula1>4.0</formula1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2026-05-04T16:39:58Z</dcterms:created>
  <dc:creator>Camilo's PC</dc:creator>
</cp:coreProperties>
</file>